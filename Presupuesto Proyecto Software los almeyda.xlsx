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meyda\Documents\Año 2025\Septimo Semestre\Proyecto software\"/>
    </mc:Choice>
  </mc:AlternateContent>
  <xr:revisionPtr revIDLastSave="0" documentId="8_{18B1D8EA-7787-4E04-B7DE-908E88B357BD}" xr6:coauthVersionLast="47" xr6:coauthVersionMax="47" xr10:uidLastSave="{00000000-0000-0000-0000-000000000000}"/>
  <bookViews>
    <workbookView xWindow="768" yWindow="768" windowWidth="21588" windowHeight="11100" xr2:uid="{9B9E8FCC-5F8D-4965-985F-071AD6616994}"/>
  </bookViews>
  <sheets>
    <sheet name="Presupuest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1" l="1"/>
  <c r="E17" i="1" s="1"/>
  <c r="E18" i="1" s="1"/>
</calcChain>
</file>

<file path=xl/sharedStrings.xml><?xml version="1.0" encoding="utf-8"?>
<sst xmlns="http://schemas.openxmlformats.org/spreadsheetml/2006/main" count="38" uniqueCount="33">
  <si>
    <t>Presupuesto USD Proyecto Los Almeyda</t>
  </si>
  <si>
    <t>Concepto</t>
  </si>
  <si>
    <t>Cantidad</t>
  </si>
  <si>
    <t>Valor unitario (USD)</t>
  </si>
  <si>
    <t>Valor total (USD)</t>
  </si>
  <si>
    <t>Hosting (plan turbo 3 años)</t>
  </si>
  <si>
    <t>12 meses</t>
  </si>
  <si>
    <t>Dominio web (1 año) Incluido en hosting</t>
  </si>
  <si>
    <t>Certificado SSL (3 años ) Incluido en hosting</t>
  </si>
  <si>
    <t>Diseño UI/UX</t>
  </si>
  <si>
    <t>20 horas</t>
  </si>
  <si>
    <t>$12 / hora</t>
  </si>
  <si>
    <t>Desarrollo Frontend</t>
  </si>
  <si>
    <t>40 horas</t>
  </si>
  <si>
    <t>$15 / hora</t>
  </si>
  <si>
    <t>Desarrollo Backend</t>
  </si>
  <si>
    <t>50 horas</t>
  </si>
  <si>
    <t>Integración de pasarelas de pago</t>
  </si>
  <si>
    <t>12 horas</t>
  </si>
  <si>
    <t>$14 / hora</t>
  </si>
  <si>
    <t>Configuración base de datos</t>
  </si>
  <si>
    <t>10 horas</t>
  </si>
  <si>
    <t>Pruebas / QA</t>
  </si>
  <si>
    <t>16 horas</t>
  </si>
  <si>
    <t>Documentación técnica / manuales</t>
  </si>
  <si>
    <t>$10 / hora</t>
  </si>
  <si>
    <t>Presentación / demos al cliente</t>
  </si>
  <si>
    <t>8 horas</t>
  </si>
  <si>
    <t>Gastos operativos (internet, licencias, etc.)</t>
  </si>
  <si>
    <t>–</t>
  </si>
  <si>
    <t>Imprevistos</t>
  </si>
  <si>
    <t>Total USD</t>
  </si>
  <si>
    <t>Valor en $ pesos TRM HOY$3,874,18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</si>
</sst>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6" fontId="0" fillId="0" borderId="8" xfId="0" applyNumberFormat="1" applyBorder="1" applyAlignment="1">
      <alignment vertical="center" wrapText="1"/>
    </xf>
    <xf numFmtId="2" fontId="0" fillId="0" borderId="9" xfId="0" applyNumberFormat="1" applyBorder="1"/>
    <xf numFmtId="6" fontId="0" fillId="0" borderId="10" xfId="0" applyNumberForma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/>
    <xf numFmtId="0" fontId="0" fillId="0" borderId="13" xfId="0" applyBorder="1"/>
    <xf numFmtId="0" fontId="3" fillId="2" borderId="14" xfId="0" applyFont="1" applyFill="1" applyBorder="1" applyAlignment="1">
      <alignment vertical="center" wrapText="1"/>
    </xf>
    <xf numFmtId="0" fontId="3" fillId="2" borderId="0" xfId="0" applyFont="1" applyFill="1"/>
    <xf numFmtId="6" fontId="3" fillId="2" borderId="9" xfId="0" applyNumberFormat="1" applyFont="1" applyFill="1" applyBorder="1"/>
    <xf numFmtId="0" fontId="0" fillId="0" borderId="15" xfId="0" applyBorder="1" applyAlignment="1">
      <alignment vertical="center" wrapText="1"/>
    </xf>
    <xf numFmtId="0" fontId="0" fillId="0" borderId="2" xfId="0" applyBorder="1"/>
    <xf numFmtId="6" fontId="1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E188A-C54A-4553-96A8-2147B01F584E}">
  <dimension ref="B1:E18"/>
  <sheetViews>
    <sheetView showGridLines="0" tabSelected="1" zoomScale="117" zoomScaleNormal="117" workbookViewId="0">
      <selection activeCell="H7" sqref="H7"/>
    </sheetView>
  </sheetViews>
  <sheetFormatPr baseColWidth="10" defaultRowHeight="14.4" x14ac:dyDescent="0.3"/>
  <cols>
    <col min="2" max="2" width="35.33203125" customWidth="1"/>
    <col min="4" max="4" width="10.33203125" customWidth="1"/>
    <col min="5" max="5" width="13.88671875" customWidth="1"/>
    <col min="6" max="6" width="1.21875" customWidth="1"/>
  </cols>
  <sheetData>
    <row r="1" spans="2:5" ht="15" thickBot="1" x14ac:dyDescent="0.35"/>
    <row r="2" spans="2:5" ht="15" thickBot="1" x14ac:dyDescent="0.35">
      <c r="B2" s="1" t="s">
        <v>0</v>
      </c>
      <c r="C2" s="2"/>
      <c r="D2" s="2"/>
      <c r="E2" s="3"/>
    </row>
    <row r="3" spans="2:5" ht="46.8" x14ac:dyDescent="0.3">
      <c r="B3" s="4" t="s">
        <v>1</v>
      </c>
      <c r="C3" s="5" t="s">
        <v>2</v>
      </c>
      <c r="D3" s="5" t="s">
        <v>3</v>
      </c>
      <c r="E3" s="6" t="s">
        <v>4</v>
      </c>
    </row>
    <row r="4" spans="2:5" x14ac:dyDescent="0.3">
      <c r="B4" s="7" t="s">
        <v>5</v>
      </c>
      <c r="C4" s="8" t="s">
        <v>6</v>
      </c>
      <c r="D4" s="9">
        <v>145.23847627110769</v>
      </c>
      <c r="E4" s="10">
        <v>145.23847627110769</v>
      </c>
    </row>
    <row r="5" spans="2:5" x14ac:dyDescent="0.3">
      <c r="B5" s="7" t="s">
        <v>7</v>
      </c>
      <c r="C5" s="8">
        <v>0</v>
      </c>
      <c r="D5" s="9">
        <v>0</v>
      </c>
      <c r="E5" s="11">
        <v>0</v>
      </c>
    </row>
    <row r="6" spans="2:5" ht="28.8" x14ac:dyDescent="0.3">
      <c r="B6" s="7" t="s">
        <v>8</v>
      </c>
      <c r="C6" s="8">
        <v>0</v>
      </c>
      <c r="D6" s="9">
        <v>0</v>
      </c>
      <c r="E6" s="11">
        <v>0</v>
      </c>
    </row>
    <row r="7" spans="2:5" x14ac:dyDescent="0.3">
      <c r="B7" s="7" t="s">
        <v>9</v>
      </c>
      <c r="C7" s="8" t="s">
        <v>10</v>
      </c>
      <c r="D7" s="8" t="s">
        <v>11</v>
      </c>
      <c r="E7" s="11">
        <v>240</v>
      </c>
    </row>
    <row r="8" spans="2:5" x14ac:dyDescent="0.3">
      <c r="B8" s="7" t="s">
        <v>12</v>
      </c>
      <c r="C8" s="8" t="s">
        <v>13</v>
      </c>
      <c r="D8" s="8" t="s">
        <v>14</v>
      </c>
      <c r="E8" s="11">
        <v>600</v>
      </c>
    </row>
    <row r="9" spans="2:5" x14ac:dyDescent="0.3">
      <c r="B9" s="7" t="s">
        <v>15</v>
      </c>
      <c r="C9" s="8" t="s">
        <v>16</v>
      </c>
      <c r="D9" s="8" t="s">
        <v>14</v>
      </c>
      <c r="E9" s="11">
        <v>750</v>
      </c>
    </row>
    <row r="10" spans="2:5" x14ac:dyDescent="0.3">
      <c r="B10" s="7" t="s">
        <v>17</v>
      </c>
      <c r="C10" s="8" t="s">
        <v>18</v>
      </c>
      <c r="D10" s="8" t="s">
        <v>19</v>
      </c>
      <c r="E10" s="11">
        <v>168</v>
      </c>
    </row>
    <row r="11" spans="2:5" x14ac:dyDescent="0.3">
      <c r="B11" s="7" t="s">
        <v>20</v>
      </c>
      <c r="C11" s="8" t="s">
        <v>21</v>
      </c>
      <c r="D11" s="8" t="s">
        <v>19</v>
      </c>
      <c r="E11" s="11">
        <v>140</v>
      </c>
    </row>
    <row r="12" spans="2:5" x14ac:dyDescent="0.3">
      <c r="B12" s="7" t="s">
        <v>22</v>
      </c>
      <c r="C12" s="8" t="s">
        <v>23</v>
      </c>
      <c r="D12" s="8" t="s">
        <v>11</v>
      </c>
      <c r="E12" s="11">
        <v>192</v>
      </c>
    </row>
    <row r="13" spans="2:5" x14ac:dyDescent="0.3">
      <c r="B13" s="7" t="s">
        <v>24</v>
      </c>
      <c r="C13" s="8" t="s">
        <v>18</v>
      </c>
      <c r="D13" s="8" t="s">
        <v>25</v>
      </c>
      <c r="E13" s="11">
        <v>120</v>
      </c>
    </row>
    <row r="14" spans="2:5" x14ac:dyDescent="0.3">
      <c r="B14" s="7" t="s">
        <v>26</v>
      </c>
      <c r="C14" s="8" t="s">
        <v>27</v>
      </c>
      <c r="D14" s="8" t="s">
        <v>25</v>
      </c>
      <c r="E14" s="11">
        <v>80</v>
      </c>
    </row>
    <row r="15" spans="2:5" ht="28.8" x14ac:dyDescent="0.3">
      <c r="B15" s="7" t="s">
        <v>28</v>
      </c>
      <c r="C15" s="8" t="s">
        <v>29</v>
      </c>
      <c r="D15" s="9">
        <v>20</v>
      </c>
      <c r="E15" s="11">
        <v>20</v>
      </c>
    </row>
    <row r="16" spans="2:5" ht="15" thickBot="1" x14ac:dyDescent="0.35">
      <c r="B16" s="12" t="s">
        <v>30</v>
      </c>
      <c r="C16" s="13"/>
      <c r="D16" s="13"/>
      <c r="E16" s="14">
        <f>2455*20%</f>
        <v>491</v>
      </c>
    </row>
    <row r="17" spans="2:5" ht="22.8" customHeight="1" thickBot="1" x14ac:dyDescent="0.35">
      <c r="B17" s="15" t="s">
        <v>31</v>
      </c>
      <c r="C17" s="16"/>
      <c r="D17" s="16"/>
      <c r="E17" s="17">
        <f>SUM(E4:E16)</f>
        <v>2946.2384762711076</v>
      </c>
    </row>
    <row r="18" spans="2:5" ht="15" thickBot="1" x14ac:dyDescent="0.35">
      <c r="B18" s="18" t="s">
        <v>32</v>
      </c>
      <c r="C18" s="19"/>
      <c r="D18" s="19"/>
      <c r="E18" s="20">
        <f>E17*3874.18</f>
        <v>11414258.18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Alonso Almeyda Garcia</dc:creator>
  <cp:lastModifiedBy>Fredy Alonso Almeyda Garcia</cp:lastModifiedBy>
  <dcterms:created xsi:type="dcterms:W3CDTF">2025-10-06T02:03:30Z</dcterms:created>
  <dcterms:modified xsi:type="dcterms:W3CDTF">2025-10-06T02:04:11Z</dcterms:modified>
</cp:coreProperties>
</file>